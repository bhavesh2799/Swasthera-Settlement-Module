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CS TDS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<sst xmlns="http://schemas.openxmlformats.org/spreadsheetml/2006/main" count="163" uniqueCount="103">
  <si>
    <t xml:space="preserve">CLIMB FOODS PRIVATE LIMITED — TCS / TDS Report</t>
  </si>
  <si>
    <t xml:space="preserve">Period: 1 May 2026 – 31 May 2026</t>
  </si>
  <si>
    <t xml:space="preserve">Taxable amount</t>
  </si>
  <si>
    <t xml:space="preserve">IGST - TCS</t>
  </si>
  <si>
    <t xml:space="preserve">CGST - TCS</t>
  </si>
  <si>
    <t xml:space="preserve">SGST - TCS</t>
  </si>
  <si>
    <t xml:space="preserve">TDS u/s 194 O</t>
  </si>
  <si>
    <t xml:space="preserve">Fynd Order ID</t>
  </si>
  <si>
    <t xml:space="preserve">Ordering Source</t>
  </si>
  <si>
    <t xml:space="preserve">Transaction type</t>
  </si>
  <si>
    <t xml:space="preserve">Transaction Date</t>
  </si>
  <si>
    <t xml:space="preserve">Mode of Payment_Refund</t>
  </si>
  <si>
    <t xml:space="preserve">Shipment ID</t>
  </si>
  <si>
    <t xml:space="preserve">Order Date</t>
  </si>
  <si>
    <t xml:space="preserve">Shipment Creation Date</t>
  </si>
  <si>
    <t xml:space="preserve">Shipment Type</t>
  </si>
  <si>
    <t xml:space="preserve">Bag ID</t>
  </si>
  <si>
    <t xml:space="preserve">Product Code</t>
  </si>
  <si>
    <t xml:space="preserve">Seller Identifier</t>
  </si>
  <si>
    <t xml:space="preserve">Size</t>
  </si>
  <si>
    <t xml:space="preserve">L3 Category</t>
  </si>
  <si>
    <t xml:space="preserve">Quantity</t>
  </si>
  <si>
    <t xml:space="preserve">Actual Price</t>
  </si>
  <si>
    <t xml:space="preserve">Selling Price</t>
  </si>
  <si>
    <t xml:space="preserve">Discounts</t>
  </si>
  <si>
    <t xml:space="preserve">Promotions</t>
  </si>
  <si>
    <t xml:space="preserve">Coupons</t>
  </si>
  <si>
    <t xml:space="preserve">Tax</t>
  </si>
  <si>
    <t xml:space="preserve">Amount Paid</t>
  </si>
  <si>
    <t xml:space="preserve">Invoice ID</t>
  </si>
  <si>
    <t xml:space="preserve">Invoice Date</t>
  </si>
  <si>
    <t xml:space="preserve">Credit Note ID</t>
  </si>
  <si>
    <t xml:space="preserve">Credit Note Date</t>
  </si>
  <si>
    <t xml:space="preserve">Fulfiment Location ID</t>
  </si>
  <si>
    <t xml:space="preserve">Fulfiment Location Code</t>
  </si>
  <si>
    <t xml:space="preserve">Fulfiment Location Name</t>
  </si>
  <si>
    <t xml:space="preserve">Current State of Shipment</t>
  </si>
  <si>
    <t xml:space="preserve">Current Operational State of Shipment</t>
  </si>
  <si>
    <t xml:space="preserve">Sales Channel Name</t>
  </si>
  <si>
    <t xml:space="preserve">AWB Number</t>
  </si>
  <si>
    <t xml:space="preserve">Delivery State</t>
  </si>
  <si>
    <t xml:space="preserve">Delivery City</t>
  </si>
  <si>
    <t xml:space="preserve">Delivery Pincode</t>
  </si>
  <si>
    <t xml:space="preserve">Customer Name</t>
  </si>
  <si>
    <t xml:space="preserve">Customer Mobile</t>
  </si>
  <si>
    <t xml:space="preserve">Coupons - Seller Sponsored</t>
  </si>
  <si>
    <t xml:space="preserve">Coupons - Marketplace Sponsored</t>
  </si>
  <si>
    <t xml:space="preserve">Promotions - Marketplace Sponsored</t>
  </si>
  <si>
    <t xml:space="preserve">Promotions - Seller Sponsored</t>
  </si>
  <si>
    <t xml:space="preserve">Company ID</t>
  </si>
  <si>
    <t xml:space="preserve">Company Name</t>
  </si>
  <si>
    <t xml:space="preserve">Company GST</t>
  </si>
  <si>
    <t xml:space="preserve">Company PAN</t>
  </si>
  <si>
    <t xml:space="preserve">Brand ID</t>
  </si>
  <si>
    <t xml:space="preserve">Brand Name</t>
  </si>
  <si>
    <t xml:space="preserve">Location GST</t>
  </si>
  <si>
    <t xml:space="preserve">Location PAN</t>
  </si>
  <si>
    <t xml:space="preserve">HSN Code</t>
  </si>
  <si>
    <t xml:space="preserve">Value Of Good</t>
  </si>
  <si>
    <t xml:space="preserve">GST</t>
  </si>
  <si>
    <t xml:space="preserve">GST Tax Percentage</t>
  </si>
  <si>
    <t xml:space="preserve">SGST Amount</t>
  </si>
  <si>
    <t xml:space="preserve">CGST Amount</t>
  </si>
  <si>
    <t xml:space="preserve">IGST Amount</t>
  </si>
  <si>
    <t xml:space="preserve">Is Returnable</t>
  </si>
  <si>
    <t xml:space="preserve">Is Customer Return allowed</t>
  </si>
  <si>
    <t xml:space="preserve">Return Time</t>
  </si>
  <si>
    <t xml:space="preserve">Return Unit</t>
  </si>
  <si>
    <t xml:space="preserve">Current State Date</t>
  </si>
  <si>
    <t xml:space="preserve">Delivery Done Date</t>
  </si>
  <si>
    <t xml:space="preserve">sales_channel_name</t>
  </si>
  <si>
    <t xml:space="preserve">external_order_id</t>
  </si>
  <si>
    <t xml:space="preserve">external_shipment_id</t>
  </si>
  <si>
    <t xml:space="preserve">State</t>
  </si>
  <si>
    <t xml:space="preserve">POS</t>
  </si>
  <si>
    <t xml:space="preserve">GST Type</t>
  </si>
  <si>
    <t xml:space="preserve">Remarks </t>
  </si>
  <si>
    <t xml:space="preserve">FY69FD907F548D859D1C</t>
  </si>
  <si>
    <t xml:space="preserve">affordplan</t>
  </si>
  <si>
    <t xml:space="preserve">Sale</t>
  </si>
  <si>
    <t xml:space="preserve">payu_india</t>
  </si>
  <si>
    <t xml:space="preserve">Standard Delivery</t>
  </si>
  <si>
    <t xml:space="preserve">150G</t>
  </si>
  <si>
    <t xml:space="preserve">Oats, Muesli &amp; Granolas</t>
  </si>
  <si>
    <t xml:space="preserve">CLIMB FOODS PRIVATE LIMITED-Jaipur, Rajasthan</t>
  </si>
  <si>
    <t xml:space="preserve">delivery_done</t>
  </si>
  <si>
    <t xml:space="preserve">Swasthera</t>
  </si>
  <si>
    <t xml:space="preserve">Andhra Pradesh</t>
  </si>
  <si>
    <t xml:space="preserve">Visakhapatnam</t>
  </si>
  <si>
    <t xml:space="preserve">Muddamsetty </t>
  </si>
  <si>
    <t xml:space="preserve">CLIMB FOODS PRIVATE LIMITED</t>
  </si>
  <si>
    <t xml:space="preserve">08AAJCC3864G1ZH</t>
  </si>
  <si>
    <t xml:space="preserve">AAJCC3864G</t>
  </si>
  <si>
    <t xml:space="preserve">Gladful</t>
  </si>
  <si>
    <t xml:space="preserve">IGST</t>
  </si>
  <si>
    <t xml:space="preserve">days</t>
  </si>
  <si>
    <t xml:space="preserve">SWASTHERA</t>
  </si>
  <si>
    <t xml:space="preserve">Rajasthan</t>
  </si>
  <si>
    <t xml:space="preserve">FY6A0735AC54160D9294</t>
  </si>
  <si>
    <t xml:space="preserve">Karnataka</t>
  </si>
  <si>
    <t xml:space="preserve">Bidar</t>
  </si>
  <si>
    <t xml:space="preserve">Sanket 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</si>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</sst>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yyyy\-mm\-dd\ h:mm:ss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4E7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5F5"/>
        <bgColor rgb="FFFFFFFF"/>
      </patternFill>
    </fill>
    <fill>
      <patternFill patternType="solid">
        <fgColor rgb="FFFFF2CC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6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n">
        <f aca="false">'TCS TDS Detail'!U7</f>
        <v>140.01</v>
      </c>
      <c r="B5" s="5" t="n">
        <f aca="false">'TCS TDS Detail'!BS7</f>
        <v>0.70005</v>
      </c>
      <c r="C5" s="5" t="n">
        <f aca="false">'TCS TDS Detail'!BT7</f>
        <v>0</v>
      </c>
      <c r="D5" s="5" t="n">
        <f aca="false">'TCS TDS Detail'!BU7</f>
        <v>0</v>
      </c>
      <c r="E5" s="5" t="n">
        <f aca="false">'TCS TDS Detail'!BV7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7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7" min="6" style="1" width="22"/>
    <col collapsed="false" customWidth="true" hidden="false" outlineLevel="0" max="8" min="8" style="1" width="24"/>
    <col collapsed="false" customWidth="true" hidden="false" outlineLevel="0" max="9" min="9" style="1" width="19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2" min="12" style="1" width="19"/>
    <col collapsed="false" customWidth="true" hidden="false" outlineLevel="0" max="13" min="13" style="1" width="6"/>
    <col collapsed="false" customWidth="true" hidden="false" outlineLevel="0" max="14" min="14" style="1" width="25"/>
    <col collapsed="false" customWidth="true" hidden="false" outlineLevel="0" max="15" min="15" style="1" width="10"/>
    <col collapsed="false" customWidth="true" hidden="false" outlineLevel="0" max="16" min="16" style="1" width="14"/>
    <col collapsed="false" customWidth="true" hidden="false" outlineLevel="0" max="17" min="17" style="1" width="15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9"/>
    <col collapsed="false" customWidth="true" hidden="false" outlineLevel="0" max="21" min="21" style="1" width="16"/>
    <col collapsed="false" customWidth="true" hidden="false" outlineLevel="0" max="22" min="22" style="1" width="6"/>
    <col collapsed="false" customWidth="true" hidden="false" outlineLevel="0" max="23" min="23" style="1" width="13"/>
    <col collapsed="false" customWidth="true" hidden="false" outlineLevel="0" max="24" min="24" style="1" width="12"/>
    <col collapsed="false" customWidth="true" hidden="false" outlineLevel="0" max="25" min="25" style="1" width="22"/>
    <col collapsed="false" customWidth="true" hidden="false" outlineLevel="0" max="26" min="26" style="1" width="16"/>
    <col collapsed="false" customWidth="true" hidden="false" outlineLevel="0" max="27" min="27" style="1" width="22"/>
    <col collapsed="false" customWidth="true" hidden="false" outlineLevel="0" max="28" min="28" style="1" width="23"/>
    <col collapsed="false" customWidth="true" hidden="false" outlineLevel="0" max="29" min="29" style="1" width="25"/>
    <col collapsed="false" customWidth="true" hidden="false" outlineLevel="0" max="30" min="30" style="1" width="40"/>
    <col collapsed="false" customWidth="true" hidden="false" outlineLevel="0" max="31" min="31" style="1" width="27"/>
    <col collapsed="false" customWidth="true" hidden="false" outlineLevel="0" max="32" min="32" style="1" width="39"/>
    <col collapsed="false" customWidth="true" hidden="false" outlineLevel="0" max="33" min="33" style="1" width="20"/>
    <col collapsed="false" customWidth="true" hidden="false" outlineLevel="0" max="34" min="34" style="1" width="12"/>
    <col collapsed="false" customWidth="true" hidden="false" outlineLevel="0" max="35" min="35" style="1" width="16"/>
    <col collapsed="false" customWidth="true" hidden="false" outlineLevel="0" max="36" min="36" style="1" width="15"/>
    <col collapsed="false" customWidth="true" hidden="false" outlineLevel="0" max="37" min="37" style="1" width="18"/>
    <col collapsed="false" customWidth="true" hidden="false" outlineLevel="0" max="38" min="38" style="1" width="15"/>
    <col collapsed="false" customWidth="true" hidden="false" outlineLevel="0" max="39" min="39" style="1" width="17"/>
    <col collapsed="false" customWidth="true" hidden="false" outlineLevel="0" max="40" min="40" style="1" width="28"/>
    <col collapsed="false" customWidth="true" hidden="false" outlineLevel="0" max="41" min="41" style="1" width="33"/>
    <col collapsed="false" customWidth="true" hidden="false" outlineLevel="0" max="42" min="42" style="1" width="36"/>
    <col collapsed="false" customWidth="true" hidden="false" outlineLevel="0" max="43" min="43" style="1" width="31"/>
    <col collapsed="false" customWidth="true" hidden="false" outlineLevel="0" max="44" min="44" style="1" width="12"/>
    <col collapsed="false" customWidth="true" hidden="false" outlineLevel="0" max="45" min="45" style="1" width="29"/>
    <col collapsed="false" customWidth="true" hidden="false" outlineLevel="0" max="46" min="46" style="1" width="17"/>
    <col collapsed="false" customWidth="true" hidden="false" outlineLevel="0" max="47" min="47" style="1" width="13"/>
    <col collapsed="false" customWidth="true" hidden="false" outlineLevel="0" max="48" min="48" style="1" width="10"/>
    <col collapsed="false" customWidth="true" hidden="false" outlineLevel="0" max="49" min="49" style="1" width="12"/>
    <col collapsed="false" customWidth="true" hidden="false" outlineLevel="0" max="50" min="50" style="1" width="17"/>
    <col collapsed="false" customWidth="true" hidden="false" outlineLevel="0" max="51" min="51" style="1" width="14"/>
    <col collapsed="false" customWidth="true" hidden="false" outlineLevel="0" max="52" min="52" style="1" width="10"/>
    <col collapsed="false" customWidth="true" hidden="false" outlineLevel="0" max="53" min="53" style="1" width="15"/>
    <col collapsed="false" customWidth="true" hidden="false" outlineLevel="0" max="54" min="54" style="1" width="6"/>
    <col collapsed="false" customWidth="true" hidden="false" outlineLevel="0" max="55" min="55" style="1" width="20"/>
    <col collapsed="false" customWidth="true" hidden="false" outlineLevel="0" max="58" min="56" style="1" width="13"/>
    <col collapsed="false" customWidth="true" hidden="false" outlineLevel="0" max="59" min="59" style="1" width="15"/>
    <col collapsed="false" customWidth="true" hidden="false" outlineLevel="0" max="60" min="60" style="1" width="28"/>
    <col collapsed="false" customWidth="true" hidden="false" outlineLevel="0" max="62" min="61" style="1" width="13"/>
    <col collapsed="false" customWidth="true" hidden="false" outlineLevel="0" max="64" min="63" style="1" width="22"/>
    <col collapsed="false" customWidth="true" hidden="false" outlineLevel="0" max="65" min="65" style="1" width="20"/>
    <col collapsed="false" customWidth="true" hidden="false" outlineLevel="0" max="67" min="66" style="1" width="22"/>
    <col collapsed="false" customWidth="true" hidden="false" outlineLevel="0" max="68" min="68" style="1" width="11"/>
    <col collapsed="false" customWidth="true" hidden="false" outlineLevel="0" max="69" min="69" style="1" width="16"/>
    <col collapsed="false" customWidth="true" hidden="false" outlineLevel="0" max="70" min="70" style="1" width="10"/>
    <col collapsed="false" customWidth="true" hidden="false" outlineLevel="0" max="71" min="71" style="1" width="21"/>
    <col collapsed="false" customWidth="true" hidden="false" outlineLevel="0" max="74" min="72" style="1" width="15"/>
    <col collapsed="false" customWidth="true" hidden="false" outlineLevel="0" max="75" min="75" style="1" width="1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30" hidden="false" customHeight="true" outlineLevel="0" collapsed="false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</v>
      </c>
      <c r="V3" s="6" t="s">
        <v>27</v>
      </c>
      <c r="W3" s="6" t="s">
        <v>28</v>
      </c>
      <c r="X3" s="6" t="s">
        <v>29</v>
      </c>
      <c r="Y3" s="6" t="s">
        <v>30</v>
      </c>
      <c r="Z3" s="6" t="s">
        <v>31</v>
      </c>
      <c r="AA3" s="6" t="s">
        <v>32</v>
      </c>
      <c r="AB3" s="6" t="s">
        <v>33</v>
      </c>
      <c r="AC3" s="6" t="s">
        <v>34</v>
      </c>
      <c r="AD3" s="6" t="s">
        <v>35</v>
      </c>
      <c r="AE3" s="6" t="s">
        <v>36</v>
      </c>
      <c r="AF3" s="6" t="s">
        <v>37</v>
      </c>
      <c r="AG3" s="6" t="s">
        <v>38</v>
      </c>
      <c r="AH3" s="6" t="s">
        <v>39</v>
      </c>
      <c r="AI3" s="6" t="s">
        <v>40</v>
      </c>
      <c r="AJ3" s="6" t="s">
        <v>41</v>
      </c>
      <c r="AK3" s="6" t="s">
        <v>42</v>
      </c>
      <c r="AL3" s="6" t="s">
        <v>43</v>
      </c>
      <c r="AM3" s="6" t="s">
        <v>44</v>
      </c>
      <c r="AN3" s="6" t="s">
        <v>45</v>
      </c>
      <c r="AO3" s="6" t="s">
        <v>46</v>
      </c>
      <c r="AP3" s="6" t="s">
        <v>47</v>
      </c>
      <c r="AQ3" s="6" t="s">
        <v>48</v>
      </c>
      <c r="AR3" s="6" t="s">
        <v>49</v>
      </c>
      <c r="AS3" s="6" t="s">
        <v>50</v>
      </c>
      <c r="AT3" s="6" t="s">
        <v>51</v>
      </c>
      <c r="AU3" s="6" t="s">
        <v>52</v>
      </c>
      <c r="AV3" s="6" t="s">
        <v>53</v>
      </c>
      <c r="AW3" s="6" t="s">
        <v>54</v>
      </c>
      <c r="AX3" s="6" t="s">
        <v>55</v>
      </c>
      <c r="AY3" s="6" t="s">
        <v>56</v>
      </c>
      <c r="AZ3" s="6" t="s">
        <v>57</v>
      </c>
      <c r="BA3" s="6" t="s">
        <v>58</v>
      </c>
      <c r="BB3" s="6" t="s">
        <v>59</v>
      </c>
      <c r="BC3" s="6" t="s">
        <v>60</v>
      </c>
      <c r="BD3" s="6" t="s">
        <v>61</v>
      </c>
      <c r="BE3" s="6" t="s">
        <v>62</v>
      </c>
      <c r="BF3" s="6" t="s">
        <v>63</v>
      </c>
      <c r="BG3" s="6" t="s">
        <v>64</v>
      </c>
      <c r="BH3" s="6" t="s">
        <v>65</v>
      </c>
      <c r="BI3" s="6" t="s">
        <v>66</v>
      </c>
      <c r="BJ3" s="6" t="s">
        <v>67</v>
      </c>
      <c r="BK3" s="6" t="s">
        <v>68</v>
      </c>
      <c r="BL3" s="6" t="s">
        <v>69</v>
      </c>
      <c r="BM3" s="6" t="s">
        <v>70</v>
      </c>
      <c r="BN3" s="6" t="s">
        <v>71</v>
      </c>
      <c r="BO3" s="6" t="s">
        <v>72</v>
      </c>
      <c r="BP3" s="6" t="s">
        <v>73</v>
      </c>
      <c r="BQ3" s="6" t="s">
        <v>74</v>
      </c>
      <c r="BR3" s="6" t="s">
        <v>75</v>
      </c>
      <c r="BS3" s="6" t="s">
        <v>3</v>
      </c>
      <c r="BT3" s="6" t="s">
        <v>4</v>
      </c>
      <c r="BU3" s="6" t="s">
        <v>5</v>
      </c>
      <c r="BV3" s="6" t="s">
        <v>6</v>
      </c>
      <c r="BW3" s="6" t="s">
        <v>76</v>
      </c>
    </row>
    <row r="4" customFormat="false" ht="15" hidden="false" customHeight="false" outlineLevel="0" collapsed="false">
      <c r="A4" s="7" t="s">
        <v>77</v>
      </c>
      <c r="B4" s="7" t="s">
        <v>78</v>
      </c>
      <c r="C4" s="7" t="s">
        <v>79</v>
      </c>
      <c r="D4" s="8" t="n">
        <v>46150.5416666667</v>
      </c>
      <c r="E4" s="7" t="s">
        <v>80</v>
      </c>
      <c r="F4" s="7" t="n">
        <v>1.77823E+019</v>
      </c>
      <c r="G4" s="8" t="n">
        <v>46150.5395833333</v>
      </c>
      <c r="H4" s="8" t="n">
        <v>46150.5395833333</v>
      </c>
      <c r="I4" s="7" t="s">
        <v>81</v>
      </c>
      <c r="J4" s="7" t="n">
        <v>51600411</v>
      </c>
      <c r="K4" s="7" t="n">
        <v>608275000000</v>
      </c>
      <c r="L4" s="7" t="n">
        <v>608275000000</v>
      </c>
      <c r="M4" s="7" t="s">
        <v>82</v>
      </c>
      <c r="N4" s="7" t="s">
        <v>83</v>
      </c>
      <c r="O4" s="7" t="n">
        <v>1</v>
      </c>
      <c r="P4" s="7" t="n">
        <v>99</v>
      </c>
      <c r="Q4" s="7" t="n">
        <v>99</v>
      </c>
      <c r="R4" s="7" t="n">
        <v>0</v>
      </c>
      <c r="S4" s="7" t="n">
        <v>0</v>
      </c>
      <c r="T4" s="7" t="n">
        <v>24.75</v>
      </c>
      <c r="U4" s="7" t="n">
        <v>94.29</v>
      </c>
      <c r="V4" s="7" t="n">
        <v>4.71</v>
      </c>
      <c r="W4" s="7" t="n">
        <v>74.25</v>
      </c>
      <c r="X4" s="7" t="n">
        <v>620623792</v>
      </c>
      <c r="Y4" s="8" t="n">
        <v>46151.5854166667</v>
      </c>
      <c r="Z4" s="7"/>
      <c r="AA4" s="7"/>
      <c r="AB4" s="7" t="n">
        <v>93489</v>
      </c>
      <c r="AC4" s="7" t="n">
        <v>302020</v>
      </c>
      <c r="AD4" s="7" t="s">
        <v>84</v>
      </c>
      <c r="AE4" s="7" t="s">
        <v>85</v>
      </c>
      <c r="AF4" s="7" t="s">
        <v>85</v>
      </c>
      <c r="AG4" s="7" t="s">
        <v>86</v>
      </c>
      <c r="AH4" s="7"/>
      <c r="AI4" s="7" t="s">
        <v>87</v>
      </c>
      <c r="AJ4" s="7" t="s">
        <v>88</v>
      </c>
      <c r="AK4" s="7" t="n">
        <v>531173</v>
      </c>
      <c r="AL4" s="7" t="s">
        <v>89</v>
      </c>
      <c r="AM4" s="7" t="n">
        <v>8466902262</v>
      </c>
      <c r="AN4" s="7" t="n">
        <v>0</v>
      </c>
      <c r="AO4" s="7" t="n">
        <v>24.75</v>
      </c>
      <c r="AP4" s="7" t="n">
        <v>0</v>
      </c>
      <c r="AQ4" s="7" t="n">
        <v>0</v>
      </c>
      <c r="AR4" s="7" t="n">
        <v>11837</v>
      </c>
      <c r="AS4" s="7" t="s">
        <v>90</v>
      </c>
      <c r="AT4" s="7" t="s">
        <v>91</v>
      </c>
      <c r="AU4" s="7" t="s">
        <v>92</v>
      </c>
      <c r="AV4" s="7" t="n">
        <v>11729</v>
      </c>
      <c r="AW4" s="7" t="s">
        <v>93</v>
      </c>
      <c r="AX4" s="7" t="s">
        <v>91</v>
      </c>
      <c r="AY4" s="7"/>
      <c r="AZ4" s="7" t="n">
        <v>19012000</v>
      </c>
      <c r="BA4" s="7" t="n">
        <v>94.29</v>
      </c>
      <c r="BB4" s="7" t="s">
        <v>94</v>
      </c>
      <c r="BC4" s="7" t="n">
        <v>5</v>
      </c>
      <c r="BD4" s="7" t="n">
        <v>0</v>
      </c>
      <c r="BE4" s="7" t="n">
        <v>0</v>
      </c>
      <c r="BF4" s="7" t="n">
        <v>4.71</v>
      </c>
      <c r="BG4" s="9" t="b">
        <f aca="false">FALSE()</f>
        <v>0</v>
      </c>
      <c r="BH4" s="7" t="n">
        <v>0</v>
      </c>
      <c r="BI4" s="7" t="n">
        <v>0</v>
      </c>
      <c r="BJ4" s="7" t="s">
        <v>95</v>
      </c>
      <c r="BK4" s="8" t="n">
        <v>46157.7270833333</v>
      </c>
      <c r="BL4" s="8" t="n">
        <v>46157.7270833333</v>
      </c>
      <c r="BM4" s="7" t="s">
        <v>96</v>
      </c>
      <c r="BN4" s="7" t="s">
        <v>77</v>
      </c>
      <c r="BO4" s="7" t="n">
        <v>1.77823E+019</v>
      </c>
      <c r="BP4" s="7" t="s">
        <v>97</v>
      </c>
      <c r="BQ4" s="7" t="s">
        <v>87</v>
      </c>
      <c r="BR4" s="7" t="s">
        <v>94</v>
      </c>
      <c r="BS4" s="10" t="n">
        <v>0.47145</v>
      </c>
      <c r="BT4" s="10" t="n">
        <v>0</v>
      </c>
      <c r="BU4" s="10" t="n">
        <v>0</v>
      </c>
      <c r="BV4" s="10" t="n">
        <v>1</v>
      </c>
      <c r="BW4" s="7"/>
    </row>
    <row r="5" customFormat="false" ht="15" hidden="false" customHeight="false" outlineLevel="0" collapsed="false">
      <c r="A5" s="11" t="s">
        <v>98</v>
      </c>
      <c r="B5" s="11" t="s">
        <v>78</v>
      </c>
      <c r="C5" s="11" t="s">
        <v>79</v>
      </c>
      <c r="D5" s="12" t="n">
        <v>46157.85625</v>
      </c>
      <c r="E5" s="11" t="s">
        <v>80</v>
      </c>
      <c r="F5" s="11" t="n">
        <v>1.77886E+019</v>
      </c>
      <c r="G5" s="12" t="n">
        <v>46157.85625</v>
      </c>
      <c r="H5" s="12" t="n">
        <v>46157.85625</v>
      </c>
      <c r="I5" s="11" t="s">
        <v>81</v>
      </c>
      <c r="J5" s="11" t="n">
        <v>51743188</v>
      </c>
      <c r="K5" s="11" t="n">
        <v>608275000000</v>
      </c>
      <c r="L5" s="11" t="n">
        <v>608275000000</v>
      </c>
      <c r="M5" s="11" t="s">
        <v>82</v>
      </c>
      <c r="N5" s="11" t="s">
        <v>83</v>
      </c>
      <c r="O5" s="11" t="n">
        <v>1</v>
      </c>
      <c r="P5" s="11" t="n">
        <v>99</v>
      </c>
      <c r="Q5" s="11" t="n">
        <v>99</v>
      </c>
      <c r="R5" s="11" t="n">
        <v>0</v>
      </c>
      <c r="S5" s="11" t="n">
        <v>0</v>
      </c>
      <c r="T5" s="11" t="n">
        <v>75</v>
      </c>
      <c r="U5" s="11" t="n">
        <v>22.86</v>
      </c>
      <c r="V5" s="11" t="n">
        <v>1.14</v>
      </c>
      <c r="W5" s="11" t="n">
        <v>24</v>
      </c>
      <c r="X5" s="11" t="n">
        <v>625865614</v>
      </c>
      <c r="Y5" s="12" t="n">
        <v>46158.41875</v>
      </c>
      <c r="Z5" s="11"/>
      <c r="AA5" s="11"/>
      <c r="AB5" s="11" t="n">
        <v>93489</v>
      </c>
      <c r="AC5" s="11" t="n">
        <v>302020</v>
      </c>
      <c r="AD5" s="11" t="s">
        <v>84</v>
      </c>
      <c r="AE5" s="11" t="s">
        <v>85</v>
      </c>
      <c r="AF5" s="11" t="s">
        <v>85</v>
      </c>
      <c r="AG5" s="11" t="s">
        <v>86</v>
      </c>
      <c r="AH5" s="11"/>
      <c r="AI5" s="11" t="s">
        <v>99</v>
      </c>
      <c r="AJ5" s="11" t="s">
        <v>100</v>
      </c>
      <c r="AK5" s="11" t="n">
        <v>585403</v>
      </c>
      <c r="AL5" s="11" t="s">
        <v>101</v>
      </c>
      <c r="AM5" s="11" t="n">
        <v>8618710946</v>
      </c>
      <c r="AN5" s="11" t="n">
        <v>75</v>
      </c>
      <c r="AO5" s="11" t="n">
        <v>0</v>
      </c>
      <c r="AP5" s="11" t="n">
        <v>0</v>
      </c>
      <c r="AQ5" s="11" t="n">
        <v>0</v>
      </c>
      <c r="AR5" s="11" t="n">
        <v>11837</v>
      </c>
      <c r="AS5" s="11" t="s">
        <v>90</v>
      </c>
      <c r="AT5" s="11" t="s">
        <v>91</v>
      </c>
      <c r="AU5" s="11" t="s">
        <v>92</v>
      </c>
      <c r="AV5" s="11" t="n">
        <v>11729</v>
      </c>
      <c r="AW5" s="11" t="s">
        <v>93</v>
      </c>
      <c r="AX5" s="11" t="s">
        <v>91</v>
      </c>
      <c r="AY5" s="11"/>
      <c r="AZ5" s="11" t="n">
        <v>19012000</v>
      </c>
      <c r="BA5" s="11" t="n">
        <v>22.86</v>
      </c>
      <c r="BB5" s="11" t="s">
        <v>94</v>
      </c>
      <c r="BC5" s="11" t="n">
        <v>5</v>
      </c>
      <c r="BD5" s="11" t="n">
        <v>0</v>
      </c>
      <c r="BE5" s="11" t="n">
        <v>0</v>
      </c>
      <c r="BF5" s="11" t="n">
        <v>1.14</v>
      </c>
      <c r="BG5" s="13" t="b">
        <f aca="false">FALSE()</f>
        <v>0</v>
      </c>
      <c r="BH5" s="11" t="n">
        <v>0</v>
      </c>
      <c r="BI5" s="11" t="n">
        <v>0</v>
      </c>
      <c r="BJ5" s="11" t="s">
        <v>95</v>
      </c>
      <c r="BK5" s="12" t="n">
        <v>46162.7166666667</v>
      </c>
      <c r="BL5" s="11" t="n">
        <v>46162.7166666667</v>
      </c>
      <c r="BM5" s="11" t="s">
        <v>96</v>
      </c>
      <c r="BN5" s="11" t="s">
        <v>98</v>
      </c>
      <c r="BO5" s="11" t="n">
        <v>1.77886E+019</v>
      </c>
      <c r="BP5" s="11" t="s">
        <v>97</v>
      </c>
      <c r="BQ5" s="11" t="s">
        <v>99</v>
      </c>
      <c r="BR5" s="11" t="s">
        <v>94</v>
      </c>
      <c r="BS5" s="14" t="n">
        <v>0.1143</v>
      </c>
      <c r="BT5" s="14" t="n">
        <v>0</v>
      </c>
      <c r="BU5" s="14" t="n">
        <v>0</v>
      </c>
      <c r="BV5" s="14" t="n">
        <v>1</v>
      </c>
      <c r="BW5" s="11"/>
    </row>
    <row r="6" customFormat="false" ht="15" hidden="false" customHeight="false" outlineLevel="0" collapsed="false">
      <c r="A6" s="7" t="s">
        <v>98</v>
      </c>
      <c r="B6" s="7" t="s">
        <v>78</v>
      </c>
      <c r="C6" s="7" t="s">
        <v>79</v>
      </c>
      <c r="D6" s="8" t="n">
        <v>46157.85625</v>
      </c>
      <c r="E6" s="7" t="s">
        <v>80</v>
      </c>
      <c r="F6" s="7" t="n">
        <v>1.77886E+019</v>
      </c>
      <c r="G6" s="8" t="n">
        <v>46157.85625</v>
      </c>
      <c r="H6" s="8" t="n">
        <v>46157.85625</v>
      </c>
      <c r="I6" s="7" t="s">
        <v>81</v>
      </c>
      <c r="J6" s="7" t="n">
        <v>51743187</v>
      </c>
      <c r="K6" s="7" t="n">
        <v>608275000000</v>
      </c>
      <c r="L6" s="7" t="n">
        <v>608275000000</v>
      </c>
      <c r="M6" s="7" t="s">
        <v>82</v>
      </c>
      <c r="N6" s="7" t="s">
        <v>83</v>
      </c>
      <c r="O6" s="7" t="n">
        <v>1</v>
      </c>
      <c r="P6" s="7" t="n">
        <v>99</v>
      </c>
      <c r="Q6" s="7" t="n">
        <v>99</v>
      </c>
      <c r="R6" s="7" t="n">
        <v>0</v>
      </c>
      <c r="S6" s="7" t="n">
        <v>0</v>
      </c>
      <c r="T6" s="7" t="n">
        <v>75</v>
      </c>
      <c r="U6" s="7" t="n">
        <v>22.86</v>
      </c>
      <c r="V6" s="7" t="n">
        <v>1.14</v>
      </c>
      <c r="W6" s="7" t="n">
        <v>24</v>
      </c>
      <c r="X6" s="7" t="n">
        <v>625865614</v>
      </c>
      <c r="Y6" s="8" t="n">
        <v>46158.41875</v>
      </c>
      <c r="Z6" s="7"/>
      <c r="AA6" s="7"/>
      <c r="AB6" s="7" t="n">
        <v>93489</v>
      </c>
      <c r="AC6" s="7" t="n">
        <v>302020</v>
      </c>
      <c r="AD6" s="7" t="s">
        <v>84</v>
      </c>
      <c r="AE6" s="7" t="s">
        <v>85</v>
      </c>
      <c r="AF6" s="7" t="s">
        <v>85</v>
      </c>
      <c r="AG6" s="7" t="s">
        <v>86</v>
      </c>
      <c r="AH6" s="7"/>
      <c r="AI6" s="7" t="s">
        <v>99</v>
      </c>
      <c r="AJ6" s="7" t="s">
        <v>100</v>
      </c>
      <c r="AK6" s="7" t="n">
        <v>585403</v>
      </c>
      <c r="AL6" s="7" t="s">
        <v>101</v>
      </c>
      <c r="AM6" s="7" t="n">
        <v>8618710946</v>
      </c>
      <c r="AN6" s="7" t="n">
        <v>75</v>
      </c>
      <c r="AO6" s="7" t="n">
        <v>0</v>
      </c>
      <c r="AP6" s="7" t="n">
        <v>0</v>
      </c>
      <c r="AQ6" s="7" t="n">
        <v>0</v>
      </c>
      <c r="AR6" s="7" t="n">
        <v>11837</v>
      </c>
      <c r="AS6" s="7" t="s">
        <v>90</v>
      </c>
      <c r="AT6" s="7" t="s">
        <v>91</v>
      </c>
      <c r="AU6" s="7" t="s">
        <v>92</v>
      </c>
      <c r="AV6" s="7" t="n">
        <v>11729</v>
      </c>
      <c r="AW6" s="7" t="s">
        <v>93</v>
      </c>
      <c r="AX6" s="7" t="s">
        <v>91</v>
      </c>
      <c r="AY6" s="7"/>
      <c r="AZ6" s="7" t="n">
        <v>19012000</v>
      </c>
      <c r="BA6" s="7" t="n">
        <v>22.86</v>
      </c>
      <c r="BB6" s="7" t="s">
        <v>94</v>
      </c>
      <c r="BC6" s="7" t="n">
        <v>5</v>
      </c>
      <c r="BD6" s="7" t="n">
        <v>0</v>
      </c>
      <c r="BE6" s="7" t="n">
        <v>0</v>
      </c>
      <c r="BF6" s="7" t="n">
        <v>1.14</v>
      </c>
      <c r="BG6" s="9" t="b">
        <f aca="false">FALSE()</f>
        <v>0</v>
      </c>
      <c r="BH6" s="7" t="n">
        <v>0</v>
      </c>
      <c r="BI6" s="7" t="n">
        <v>0</v>
      </c>
      <c r="BJ6" s="7" t="s">
        <v>95</v>
      </c>
      <c r="BK6" s="8" t="n">
        <v>46162.7166666667</v>
      </c>
      <c r="BL6" s="7" t="n">
        <v>46162.7166666667</v>
      </c>
      <c r="BM6" s="7" t="s">
        <v>96</v>
      </c>
      <c r="BN6" s="7" t="s">
        <v>98</v>
      </c>
      <c r="BO6" s="7" t="n">
        <v>1.77886E+019</v>
      </c>
      <c r="BP6" s="7" t="s">
        <v>97</v>
      </c>
      <c r="BQ6" s="7" t="s">
        <v>99</v>
      </c>
      <c r="BR6" s="7" t="s">
        <v>94</v>
      </c>
      <c r="BS6" s="10" t="n">
        <v>0.1143</v>
      </c>
      <c r="BT6" s="10" t="n">
        <v>0</v>
      </c>
      <c r="BU6" s="10" t="n">
        <v>0</v>
      </c>
      <c r="BV6" s="10" t="n">
        <v>1</v>
      </c>
      <c r="BW6" s="7"/>
    </row>
    <row r="7" customFormat="false" ht="15" hidden="false" customHeight="false" outlineLevel="0" collapsed="false">
      <c r="A7" s="15" t="s">
        <v>102</v>
      </c>
      <c r="Q7" s="16" t="n">
        <f aca="false">SUM(Q4:Q6)</f>
        <v>297</v>
      </c>
      <c r="U7" s="16" t="n">
        <f aca="false">SUM(U4:U6)</f>
        <v>140.01</v>
      </c>
      <c r="W7" s="16" t="n">
        <f aca="false">SUM(W4:W6)</f>
        <v>122.25</v>
      </c>
      <c r="BS7" s="17" t="n">
        <f aca="false">SUM(BS4:BS6)</f>
        <v>0.70005</v>
      </c>
      <c r="BT7" s="17" t="n">
        <f aca="false">SUM(BT4:BT6)</f>
        <v>0</v>
      </c>
      <c r="BU7" s="17" t="n">
        <f aca="false">SUM(BU4:BU6)</f>
        <v>0</v>
      </c>
      <c r="BV7" s="17" t="n">
        <f aca="false">SUM(BV4:BV6)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2026-06-08T11:44:08Z</dcterms:created>
  <dc:creator>openpyxl</dc:creator>
  <dc:description/>
  <dc:language>en-US</dc:language>
  <cp:lastModifiedBy/>
  <dcterms:modified xsi:type="dcterms:W3CDTF">2026-06-08T11:44:08Z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